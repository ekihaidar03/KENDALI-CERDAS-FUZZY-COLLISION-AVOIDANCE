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Validasi Skenario" sheetId="2" state="visible" r:id="rId2"/>
    <sheet name="Ringkasan Fuzzy" sheetId="3" state="visible" r:id="rId3"/>
    <sheet name="Ringkasan Lintasan" sheetId="4" state="visible" r:id="rId4"/>
    <sheet name="Catatan" sheetId="5" state="visible" r:id="rId5"/>
  </sheets>
  <definedNames>
    <definedName name="_xlnm._FilterDatabase" localSheetId="1" hidden="1">'Validasi Skenario'!$A$3:$M$8</definedName>
    <definedName name="_xlnm._FilterDatabase" localSheetId="2" hidden="1">'Ringkasan Fuzzy'!$A$3:$N$8</definedName>
    <definedName name="_xlnm._FilterDatabase" localSheetId="3" hidden="1">'Ringkasan Lintasan'!$A$3:$H$8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4E78"/>
      <sz val="15"/>
    </font>
    <font>
      <i val="1"/>
      <color rgb="00666666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Distribusi Command per Skenario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'Validasi Skenario'!F3</f>
            </strRef>
          </tx>
          <spPr>
            <a:ln>
              <a:prstDash val="solid"/>
            </a:ln>
          </spPr>
          <cat>
            <numRef>
              <f>'Validasi Skenario'!$A$4:$A$8</f>
            </numRef>
          </cat>
          <val>
            <numRef>
              <f>'Validasi Skenario'!$F$4:$F$8</f>
            </numRef>
          </val>
        </ser>
        <ser>
          <idx val="1"/>
          <order val="1"/>
          <tx>
            <strRef>
              <f>'Validasi Skenario'!G3</f>
            </strRef>
          </tx>
          <spPr>
            <a:ln>
              <a:prstDash val="solid"/>
            </a:ln>
          </spPr>
          <cat>
            <numRef>
              <f>'Validasi Skenario'!$A$4:$A$8</f>
            </numRef>
          </cat>
          <val>
            <numRef>
              <f>'Validasi Skenario'!$G$4:$G$8</f>
            </numRef>
          </val>
        </ser>
        <ser>
          <idx val="2"/>
          <order val="2"/>
          <tx>
            <strRef>
              <f>'Validasi Skenario'!H3</f>
            </strRef>
          </tx>
          <spPr>
            <a:ln>
              <a:prstDash val="solid"/>
            </a:ln>
          </spPr>
          <cat>
            <numRef>
              <f>'Validasi Skenario'!$A$4:$A$8</f>
            </numRef>
          </cat>
          <val>
            <numRef>
              <f>'Validasi Skenario'!$H$4:$H$8</f>
            </numRef>
          </val>
        </ser>
        <ser>
          <idx val="3"/>
          <order val="3"/>
          <tx>
            <strRef>
              <f>'Validasi Skenario'!I3</f>
            </strRef>
          </tx>
          <spPr>
            <a:ln>
              <a:prstDash val="solid"/>
            </a:ln>
          </spPr>
          <cat>
            <numRef>
              <f>'Validasi Skenario'!$A$4:$A$8</f>
            </numRef>
          </cat>
          <val>
            <numRef>
              <f>'Validasi Skenario'!$I$4:$I$8</f>
            </numRef>
          </val>
        </ser>
        <ser>
          <idx val="4"/>
          <order val="4"/>
          <tx>
            <strRef>
              <f>'Validasi Skenario'!J3</f>
            </strRef>
          </tx>
          <spPr>
            <a:ln>
              <a:prstDash val="solid"/>
            </a:ln>
          </spPr>
          <cat>
            <numRef>
              <f>'Validasi Skenario'!$A$4:$A$8</f>
            </numRef>
          </cat>
          <val>
            <numRef>
              <f>'Validasi Skenario'!$J$4:$J$8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Jumlah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82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Dashboard Simulasi Fuzzy Collision Avoidance USV SEANO</t>
        </is>
      </c>
    </row>
    <row r="2">
      <c r="A2" s="2" t="inlineStr">
        <is>
          <t>Ringkasan hasil simulasi Mamdani Fuzzy Logic Controller berbasis parameter visual.</t>
        </is>
      </c>
    </row>
    <row r="4">
      <c r="A4" s="3" t="inlineStr">
        <is>
          <t>Indikator Utama</t>
        </is>
      </c>
    </row>
    <row r="5">
      <c r="A5" s="4" t="inlineStr">
        <is>
          <t>Jumlah skenario</t>
        </is>
      </c>
      <c r="B5" s="5" t="n">
        <v>5</v>
      </c>
    </row>
    <row r="6">
      <c r="A6" s="4" t="inlineStr">
        <is>
          <t>Skenario valid simulatif</t>
        </is>
      </c>
      <c r="B6" s="5" t="n">
        <v>5</v>
      </c>
    </row>
    <row r="7">
      <c r="A7" s="4" t="inlineStr">
        <is>
          <t>Risk maksimum</t>
        </is>
      </c>
      <c r="B7" s="5" t="n">
        <v>0.847</v>
      </c>
    </row>
    <row r="8">
      <c r="A8" s="4" t="inlineStr">
        <is>
          <t>Jarak minimum simulatif terkecil (m)</t>
        </is>
      </c>
      <c r="B8" s="5" t="n">
        <v>0.4106</v>
      </c>
    </row>
    <row r="11">
      <c r="A11" s="3" t="inlineStr">
        <is>
          <t>Catatan Engineering</t>
        </is>
      </c>
    </row>
    <row r="12" ht="54" customHeight="1">
      <c r="A12" s="6" t="inlineStr">
        <is>
          <t>Hasil jarak minimum merupakan nilai simulatif dari model kinematik sederhana. Nilai ini belum boleh disebut sebagai validasi keselamatan fisik final. Validasi fisik final tetap memerlukan pengujian langsung pada USV SEANO.</t>
        </is>
      </c>
    </row>
    <row r="13"/>
    <row r="14"/>
    <row r="16">
      <c r="A16" s="3" t="inlineStr">
        <is>
          <t>Rekomendasi Gambar untuk Laporan</t>
        </is>
      </c>
    </row>
    <row r="17">
      <c r="A17" t="inlineStr">
        <is>
          <t>G02_membership_visual_proximity.png</t>
        </is>
      </c>
    </row>
    <row r="18">
      <c r="A18" t="inlineStr">
        <is>
          <t>G03_membership_approach_urgency.png</t>
        </is>
      </c>
    </row>
    <row r="19">
      <c r="A19" t="inlineStr">
        <is>
          <t>G10_risk_frontal_static_obstacle.png</t>
        </is>
      </c>
    </row>
    <row r="20">
      <c r="A20" t="inlineStr">
        <is>
          <t>G30_command_frontal_static_obstacle.png</t>
        </is>
      </c>
    </row>
    <row r="21">
      <c r="A21" t="inlineStr">
        <is>
          <t>G40_trajectory_frontal_static_obstacle.png</t>
        </is>
      </c>
    </row>
    <row r="22">
      <c r="A22" t="inlineStr">
        <is>
          <t>G40_trajectory_crossing_left_to_right.png</t>
        </is>
      </c>
    </row>
    <row r="23">
      <c r="A23" t="inlineStr">
        <is>
          <t>G60_surface_risk_center_obstacle.png</t>
        </is>
      </c>
    </row>
  </sheetData>
  <mergeCells count="1">
    <mergeCell ref="A12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48" customWidth="1" min="12" max="12"/>
    <col width="78" customWidth="1" min="13" max="13"/>
  </cols>
  <sheetData>
    <row r="1">
      <c r="A1" s="1" t="inlineStr">
        <is>
          <t>Tabel Validasi Skenario Simulasi</t>
        </is>
      </c>
    </row>
    <row r="3" ht="38" customHeight="1">
      <c r="A3" s="7" t="inlineStr">
        <is>
          <t>Skenario</t>
        </is>
      </c>
      <c r="B3" s="7" t="inlineStr">
        <is>
          <t>Risk maksimum</t>
        </is>
      </c>
      <c r="C3" s="7" t="inlineStr">
        <is>
          <t>LOW</t>
        </is>
      </c>
      <c r="D3" s="7" t="inlineStr">
        <is>
          <t>MEDIUM</t>
        </is>
      </c>
      <c r="E3" s="7" t="inlineStr">
        <is>
          <t>HIGH</t>
        </is>
      </c>
      <c r="F3" s="7" t="inlineStr">
        <is>
          <t>HOLD_COURSE</t>
        </is>
      </c>
      <c r="G3" s="7" t="inlineStr">
        <is>
          <t>SLOW_DOWN</t>
        </is>
      </c>
      <c r="H3" s="7" t="inlineStr">
        <is>
          <t>TURN_LEFT_SLOW</t>
        </is>
      </c>
      <c r="I3" s="7" t="inlineStr">
        <is>
          <t>TURN_RIGHT_SLOW</t>
        </is>
      </c>
      <c r="J3" s="7" t="inlineStr">
        <is>
          <t>STOP</t>
        </is>
      </c>
      <c r="K3" s="7" t="inlineStr">
        <is>
          <t>Jarak minimum simulatif (m)</t>
        </is>
      </c>
      <c r="L3" s="7" t="inlineStr">
        <is>
          <t>Status validasi simulasi</t>
        </is>
      </c>
      <c r="M3" s="7" t="inlineStr">
        <is>
          <t>Catatan analisis</t>
        </is>
      </c>
    </row>
    <row r="4" ht="64" customHeight="1">
      <c r="A4" s="8" t="inlineStr">
        <is>
          <t>Crossing kiri ke kanan</t>
        </is>
      </c>
      <c r="B4" s="9" t="n">
        <v>0.45</v>
      </c>
      <c r="C4" s="8" t="n">
        <v>53</v>
      </c>
      <c r="D4" s="8" t="n">
        <v>48</v>
      </c>
      <c r="E4" s="8" t="n">
        <v>0</v>
      </c>
      <c r="F4" s="8" t="n">
        <v>53</v>
      </c>
      <c r="G4" s="8" t="n">
        <v>15</v>
      </c>
      <c r="H4" s="8" t="n">
        <v>0</v>
      </c>
      <c r="I4" s="8" t="n">
        <v>33</v>
      </c>
      <c r="J4" s="8" t="n">
        <v>0</v>
      </c>
      <c r="K4" s="10" t="n">
        <v>0.4106</v>
      </c>
      <c r="L4" s="11" t="inlineStr">
        <is>
          <t>Valid simulatif - crossing terdeteksi sebagai risiko MEDIUM</t>
        </is>
      </c>
      <c r="M4" s="8" t="inlineStr">
        <is>
          <t>Skenario crossing paling kritis. Fuzzy controller menurunkan kecepatan dan menjaga risk pada kelas MEDIUM. Jarak minimum simulatif perlu dibaca sebagai hasil model kinematik, bukan validasi fisik final.</t>
        </is>
      </c>
    </row>
    <row r="5" ht="64" customHeight="1">
      <c r="A5" s="8" t="inlineStr">
        <is>
          <t>Crossing kanan ke kiri</t>
        </is>
      </c>
      <c r="B5" s="9" t="n">
        <v>0.45</v>
      </c>
      <c r="C5" s="8" t="n">
        <v>53</v>
      </c>
      <c r="D5" s="8" t="n">
        <v>48</v>
      </c>
      <c r="E5" s="8" t="n">
        <v>0</v>
      </c>
      <c r="F5" s="8" t="n">
        <v>53</v>
      </c>
      <c r="G5" s="8" t="n">
        <v>8</v>
      </c>
      <c r="H5" s="8" t="n">
        <v>9</v>
      </c>
      <c r="I5" s="8" t="n">
        <v>31</v>
      </c>
      <c r="J5" s="8" t="n">
        <v>0</v>
      </c>
      <c r="K5" s="12" t="n">
        <v>2.2499</v>
      </c>
      <c r="L5" s="11" t="inlineStr">
        <is>
          <t>Valid simulatif - crossing terdeteksi sebagai risiko MEDIUM</t>
        </is>
      </c>
      <c r="M5" s="8" t="inlineStr">
        <is>
          <t>Obstacle crossing tetap berada pada kelas MEDIUM dan tidak mencapai kondisi STOP.</t>
        </is>
      </c>
    </row>
    <row r="6" ht="64" customHeight="1">
      <c r="A6" s="8" t="inlineStr">
        <is>
          <t>Obstacle frontal statis</t>
        </is>
      </c>
      <c r="B6" s="10" t="n">
        <v>0.847</v>
      </c>
      <c r="C6" s="8" t="n">
        <v>31</v>
      </c>
      <c r="D6" s="8" t="n">
        <v>41</v>
      </c>
      <c r="E6" s="8" t="n">
        <v>29</v>
      </c>
      <c r="F6" s="8" t="n">
        <v>31</v>
      </c>
      <c r="G6" s="8" t="n">
        <v>0</v>
      </c>
      <c r="H6" s="8" t="n">
        <v>0</v>
      </c>
      <c r="I6" s="8" t="n">
        <v>41</v>
      </c>
      <c r="J6" s="8" t="n">
        <v>29</v>
      </c>
      <c r="K6" s="12" t="n">
        <v>2.445</v>
      </c>
      <c r="L6" s="11" t="inlineStr">
        <is>
          <t>Valid - sistem melakukan STOP pada obstacle frontal</t>
        </is>
      </c>
      <c r="M6" s="8" t="inlineStr">
        <is>
          <t>Obstacle frontal menghasilkan risk HIGH dan command STOP. Respons ini sesuai karakter konservatif collision avoidance.</t>
        </is>
      </c>
    </row>
    <row r="7" ht="64" customHeight="1">
      <c r="A7" s="8" t="inlineStr">
        <is>
          <t>Tanpa obstacle</t>
        </is>
      </c>
      <c r="B7" s="12" t="n">
        <v>0.1365</v>
      </c>
      <c r="C7" s="8" t="n">
        <v>101</v>
      </c>
      <c r="D7" s="8" t="n">
        <v>0</v>
      </c>
      <c r="E7" s="8" t="n">
        <v>0</v>
      </c>
      <c r="F7" s="8" t="n">
        <v>101</v>
      </c>
      <c r="G7" s="8" t="n">
        <v>0</v>
      </c>
      <c r="H7" s="8" t="n">
        <v>0</v>
      </c>
      <c r="I7" s="8" t="n">
        <v>0</v>
      </c>
      <c r="J7" s="8" t="n">
        <v>0</v>
      </c>
      <c r="K7" s="8" t="inlineStr">
        <is>
          <t>-</t>
        </is>
      </c>
      <c r="L7" s="11" t="inlineStr">
        <is>
          <t>Valid - sistem mempertahankan HOLD_COURSE</t>
        </is>
      </c>
      <c r="M7" s="8" t="inlineStr">
        <is>
          <t>Tidak ada obstacle. Sistem mempertahankan lintasan tanpa pergantian command.</t>
        </is>
      </c>
    </row>
    <row r="8" ht="64" customHeight="1">
      <c r="A8" s="8" t="inlineStr">
        <is>
          <t>Obstacle samping aman</t>
        </is>
      </c>
      <c r="B8" s="12" t="n">
        <v>0.1605</v>
      </c>
      <c r="C8" s="8" t="n">
        <v>101</v>
      </c>
      <c r="D8" s="8" t="n">
        <v>0</v>
      </c>
      <c r="E8" s="8" t="n">
        <v>0</v>
      </c>
      <c r="F8" s="8" t="n">
        <v>101</v>
      </c>
      <c r="G8" s="8" t="n">
        <v>0</v>
      </c>
      <c r="H8" s="8" t="n">
        <v>0</v>
      </c>
      <c r="I8" s="8" t="n">
        <v>0</v>
      </c>
      <c r="J8" s="8" t="n">
        <v>0</v>
      </c>
      <c r="K8" s="12" t="n">
        <v>5.0001</v>
      </c>
      <c r="L8" s="11" t="inlineStr">
        <is>
          <t>Valid - obstacle samping tidak memicu avoidance</t>
        </is>
      </c>
      <c r="M8" s="8" t="inlineStr">
        <is>
          <t>Obstacle berada di sisi luar corridor sehingga sistem tetap HOLD_COURSE.</t>
        </is>
      </c>
    </row>
  </sheetData>
  <autoFilter ref="A3:M8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Ringkasan Output Fuzzy Controller</t>
        </is>
      </c>
    </row>
    <row r="3" ht="38" customHeight="1">
      <c r="A3" s="7" t="inlineStr">
        <is>
          <t>Skenario</t>
        </is>
      </c>
      <c r="B3" s="7" t="inlineStr">
        <is>
          <t>Jumlah data</t>
        </is>
      </c>
      <c r="C3" s="7" t="inlineStr">
        <is>
          <t>Risk minimum</t>
        </is>
      </c>
      <c r="D3" s="7" t="inlineStr">
        <is>
          <t>Risk maksimum</t>
        </is>
      </c>
      <c r="E3" s="7" t="inlineStr">
        <is>
          <t>Risk rata-rata</t>
        </is>
      </c>
      <c r="F3" s="7" t="inlineStr">
        <is>
          <t>Speed rata-rata</t>
        </is>
      </c>
      <c r="G3" s="7" t="inlineStr">
        <is>
          <t>HOLD_COURSE</t>
        </is>
      </c>
      <c r="H3" s="7" t="inlineStr">
        <is>
          <t>SLOW_DOWN</t>
        </is>
      </c>
      <c r="I3" s="7" t="inlineStr">
        <is>
          <t>TURN_LEFT_SLOW</t>
        </is>
      </c>
      <c r="J3" s="7" t="inlineStr">
        <is>
          <t>TURN_RIGHT_SLOW</t>
        </is>
      </c>
      <c r="K3" s="7" t="inlineStr">
        <is>
          <t>STOP</t>
        </is>
      </c>
      <c r="L3" s="7" t="inlineStr">
        <is>
          <t>LOW</t>
        </is>
      </c>
      <c r="M3" s="7" t="inlineStr">
        <is>
          <t>MEDIUM</t>
        </is>
      </c>
      <c r="N3" s="7" t="inlineStr">
        <is>
          <t>HIGH</t>
        </is>
      </c>
    </row>
    <row r="4" ht="24" customHeight="1">
      <c r="A4" s="8" t="inlineStr">
        <is>
          <t>Crossing kiri ke kanan</t>
        </is>
      </c>
      <c r="B4" s="8" t="n">
        <v>101</v>
      </c>
      <c r="C4" s="13" t="n">
        <v>0.1475</v>
      </c>
      <c r="D4" s="13" t="n">
        <v>0.45</v>
      </c>
      <c r="E4" s="13" t="n">
        <v>0.2955</v>
      </c>
      <c r="F4" s="13" t="n">
        <v>0.579</v>
      </c>
      <c r="G4" s="8" t="n">
        <v>53</v>
      </c>
      <c r="H4" s="8" t="n">
        <v>15</v>
      </c>
      <c r="I4" s="8" t="n">
        <v>0</v>
      </c>
      <c r="J4" s="8" t="n">
        <v>33</v>
      </c>
      <c r="K4" s="8" t="n">
        <v>0</v>
      </c>
      <c r="L4" s="8" t="n">
        <v>53</v>
      </c>
      <c r="M4" s="8" t="n">
        <v>48</v>
      </c>
      <c r="N4" s="8" t="n">
        <v>0</v>
      </c>
    </row>
    <row r="5" ht="24" customHeight="1">
      <c r="A5" s="8" t="inlineStr">
        <is>
          <t>Crossing kanan ke kiri</t>
        </is>
      </c>
      <c r="B5" s="8" t="n">
        <v>101</v>
      </c>
      <c r="C5" s="13" t="n">
        <v>0.1475</v>
      </c>
      <c r="D5" s="13" t="n">
        <v>0.45</v>
      </c>
      <c r="E5" s="13" t="n">
        <v>0.2955</v>
      </c>
      <c r="F5" s="13" t="n">
        <v>0.579</v>
      </c>
      <c r="G5" s="8" t="n">
        <v>53</v>
      </c>
      <c r="H5" s="8" t="n">
        <v>8</v>
      </c>
      <c r="I5" s="8" t="n">
        <v>9</v>
      </c>
      <c r="J5" s="8" t="n">
        <v>31</v>
      </c>
      <c r="K5" s="8" t="n">
        <v>0</v>
      </c>
      <c r="L5" s="8" t="n">
        <v>53</v>
      </c>
      <c r="M5" s="8" t="n">
        <v>48</v>
      </c>
      <c r="N5" s="8" t="n">
        <v>0</v>
      </c>
    </row>
    <row r="6" ht="24" customHeight="1">
      <c r="A6" s="8" t="inlineStr">
        <is>
          <t>Obstacle frontal statis</t>
        </is>
      </c>
      <c r="B6" s="8" t="n">
        <v>101</v>
      </c>
      <c r="C6" s="13" t="n">
        <v>0.1365</v>
      </c>
      <c r="D6" s="13" t="n">
        <v>0.847</v>
      </c>
      <c r="E6" s="13" t="n">
        <v>0.452</v>
      </c>
      <c r="F6" s="13" t="n">
        <v>0.427</v>
      </c>
      <c r="G6" s="8" t="n">
        <v>31</v>
      </c>
      <c r="H6" s="8" t="n">
        <v>0</v>
      </c>
      <c r="I6" s="8" t="n">
        <v>0</v>
      </c>
      <c r="J6" s="8" t="n">
        <v>41</v>
      </c>
      <c r="K6" s="8" t="n">
        <v>29</v>
      </c>
      <c r="L6" s="8" t="n">
        <v>31</v>
      </c>
      <c r="M6" s="8" t="n">
        <v>41</v>
      </c>
      <c r="N6" s="8" t="n">
        <v>29</v>
      </c>
    </row>
    <row r="7" ht="24" customHeight="1">
      <c r="A7" s="8" t="inlineStr">
        <is>
          <t>Tanpa obstacle</t>
        </is>
      </c>
      <c r="B7" s="8" t="n">
        <v>101</v>
      </c>
      <c r="C7" s="13" t="n">
        <v>0.1365</v>
      </c>
      <c r="D7" s="13" t="n">
        <v>0.1365</v>
      </c>
      <c r="E7" s="13" t="n">
        <v>0.1365</v>
      </c>
      <c r="F7" s="13" t="n">
        <v>0.8003</v>
      </c>
      <c r="G7" s="8" t="n">
        <v>101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101</v>
      </c>
      <c r="M7" s="8" t="n">
        <v>0</v>
      </c>
      <c r="N7" s="8" t="n">
        <v>0</v>
      </c>
    </row>
    <row r="8" ht="24" customHeight="1">
      <c r="A8" s="8" t="inlineStr">
        <is>
          <t>Obstacle samping aman</t>
        </is>
      </c>
      <c r="B8" s="8" t="n">
        <v>101</v>
      </c>
      <c r="C8" s="13" t="n">
        <v>0.1534</v>
      </c>
      <c r="D8" s="13" t="n">
        <v>0.1605</v>
      </c>
      <c r="E8" s="13" t="n">
        <v>0.1562</v>
      </c>
      <c r="F8" s="13" t="n">
        <v>0.7743</v>
      </c>
      <c r="G8" s="8" t="n">
        <v>101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101</v>
      </c>
      <c r="M8" s="8" t="n">
        <v>0</v>
      </c>
      <c r="N8" s="8" t="n">
        <v>0</v>
      </c>
    </row>
  </sheetData>
  <autoFilter ref="A3:N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</cols>
  <sheetData>
    <row r="1">
      <c r="A1" s="1" t="inlineStr">
        <is>
          <t>Ringkasan Simulasi Lintasan USV</t>
        </is>
      </c>
    </row>
    <row r="3" ht="38" customHeight="1">
      <c r="A3" s="7" t="inlineStr">
        <is>
          <t>Skenario</t>
        </is>
      </c>
      <c r="B3" s="7" t="inlineStr">
        <is>
          <t>Posisi akhir X (m)</t>
        </is>
      </c>
      <c r="C3" s="7" t="inlineStr">
        <is>
          <t>Posisi akhir Y (m)</t>
        </is>
      </c>
      <c r="D3" s="7" t="inlineStr">
        <is>
          <t>Deviasi lateral maksimum (m)</t>
        </is>
      </c>
      <c r="E3" s="7" t="inlineStr">
        <is>
          <t>Kecepatan rata-rata (m/s)</t>
        </is>
      </c>
      <c r="F3" s="7" t="inlineStr">
        <is>
          <t>Kecepatan minimum (m/s)</t>
        </is>
      </c>
      <c r="G3" s="7" t="inlineStr">
        <is>
          <t>Jarak minimum simulatif (m)</t>
        </is>
      </c>
      <c r="H3" s="7" t="inlineStr">
        <is>
          <t>Jumlah pergantian command</t>
        </is>
      </c>
    </row>
    <row r="4" ht="24" customHeight="1">
      <c r="A4" s="8" t="inlineStr">
        <is>
          <t>Crossing kiri ke kanan</t>
        </is>
      </c>
      <c r="B4" s="13" t="n">
        <v>1.5008</v>
      </c>
      <c r="C4" s="13" t="n">
        <v>11.855</v>
      </c>
      <c r="D4" s="13" t="n">
        <v>2.2341</v>
      </c>
      <c r="E4" s="13" t="n">
        <v>0.6369</v>
      </c>
      <c r="F4" s="13" t="n">
        <v>0.385</v>
      </c>
      <c r="G4" s="13" t="n">
        <v>0.4106</v>
      </c>
      <c r="H4" s="8" t="n">
        <v>4</v>
      </c>
    </row>
    <row r="5" ht="24" customHeight="1">
      <c r="A5" s="8" t="inlineStr">
        <is>
          <t>Crossing kanan ke kiri</t>
        </is>
      </c>
      <c r="B5" s="13" t="n">
        <v>1.1375</v>
      </c>
      <c r="C5" s="13" t="n">
        <v>11.9358</v>
      </c>
      <c r="D5" s="13" t="n">
        <v>1.6655</v>
      </c>
      <c r="E5" s="13" t="n">
        <v>0.6369</v>
      </c>
      <c r="F5" s="13" t="n">
        <v>0.385</v>
      </c>
      <c r="G5" s="13" t="n">
        <v>2.2499</v>
      </c>
      <c r="H5" s="8" t="n">
        <v>5</v>
      </c>
    </row>
    <row r="6" ht="24" customHeight="1">
      <c r="A6" s="8" t="inlineStr">
        <is>
          <t>Obstacle frontal statis</t>
        </is>
      </c>
      <c r="B6" s="13" t="n">
        <v>2.1657</v>
      </c>
      <c r="C6" s="13" t="n">
        <v>7.5318</v>
      </c>
      <c r="D6" s="13" t="n">
        <v>2.1657</v>
      </c>
      <c r="E6" s="13" t="n">
        <v>0.4216</v>
      </c>
      <c r="F6" s="13" t="n">
        <v>0</v>
      </c>
      <c r="G6" s="13" t="n">
        <v>2.445</v>
      </c>
      <c r="H6" s="8" t="n">
        <v>2</v>
      </c>
    </row>
    <row r="7" ht="24" customHeight="1">
      <c r="A7" s="8" t="inlineStr">
        <is>
          <t>Tanpa obstacle</t>
        </is>
      </c>
      <c r="B7" s="13" t="n">
        <v>0</v>
      </c>
      <c r="C7" s="13" t="n">
        <v>17.7827</v>
      </c>
      <c r="D7" s="13" t="n">
        <v>0</v>
      </c>
      <c r="E7" s="13" t="n">
        <v>0.8803</v>
      </c>
      <c r="F7" s="13" t="n">
        <v>0.8803</v>
      </c>
      <c r="G7" s="8" t="inlineStr">
        <is>
          <t>-</t>
        </is>
      </c>
      <c r="H7" s="8" t="n">
        <v>0</v>
      </c>
    </row>
    <row r="8" ht="24" customHeight="1">
      <c r="A8" s="8" t="inlineStr">
        <is>
          <t>Obstacle samping aman</t>
        </is>
      </c>
      <c r="B8" s="13" t="n">
        <v>0</v>
      </c>
      <c r="C8" s="13" t="n">
        <v>17.2056</v>
      </c>
      <c r="D8" s="13" t="n">
        <v>0</v>
      </c>
      <c r="E8" s="13" t="n">
        <v>0.8518</v>
      </c>
      <c r="F8" s="13" t="n">
        <v>0.8455</v>
      </c>
      <c r="G8" s="13" t="n">
        <v>5.0001</v>
      </c>
      <c r="H8" s="8" t="n">
        <v>0</v>
      </c>
    </row>
  </sheetData>
  <autoFilter ref="A3: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Catatan Penggunaan Hasil Simulasi</t>
        </is>
      </c>
    </row>
    <row r="2">
      <c r="A2" s="2" t="inlineStr">
        <is>
          <t>Catatan ini disiapkan agar interpretasi hasil tidak berlebihan.</t>
        </is>
      </c>
    </row>
    <row r="4">
      <c r="A4" s="7" t="inlineStr">
        <is>
          <t>No</t>
        </is>
      </c>
      <c r="B4" s="7" t="inlineStr">
        <is>
          <t>Catatan</t>
        </is>
      </c>
    </row>
    <row r="5" ht="42" customHeight="1">
      <c r="A5" s="14" t="inlineStr">
        <is>
          <t>1</t>
        </is>
      </c>
      <c r="B5" s="8" t="inlineStr">
        <is>
          <t>Hasil ini merupakan validasi awal berbasis simulasi, bukan validasi keselamatan fisik final.</t>
        </is>
      </c>
    </row>
    <row r="6" ht="42" customHeight="1">
      <c r="A6" s="14" t="inlineStr">
        <is>
          <t>2</t>
        </is>
      </c>
      <c r="B6" s="8" t="inlineStr">
        <is>
          <t>Jarak minimum simulatif dihitung dari model kinematik sederhana pada program usv_simulator.py.</t>
        </is>
      </c>
    </row>
    <row r="7" ht="42" customHeight="1">
      <c r="A7" s="14" t="inlineStr">
        <is>
          <t>3</t>
        </is>
      </c>
      <c r="B7" s="8" t="inlineStr">
        <is>
          <t>Fitur proximity, area, bottom bounding box, dan vTTC berasal dari pendekatan visual kamera monocular sehingga tidak boleh diklaim sebagai jarak absolut.</t>
        </is>
      </c>
    </row>
    <row r="8" ht="42" customHeight="1">
      <c r="A8" s="14" t="inlineStr">
        <is>
          <t>4</t>
        </is>
      </c>
      <c r="B8" s="8" t="inlineStr">
        <is>
          <t>Validasi fisik final harus dilakukan pada USV SEANO melalui pengujian langsung, log runtime, video, dan observasi operator.</t>
        </is>
      </c>
    </row>
    <row r="9" ht="42" customHeight="1">
      <c r="A9" s="14" t="inlineStr">
        <is>
          <t>5</t>
        </is>
      </c>
      <c r="B9" s="8" t="inlineStr">
        <is>
          <t>Tabel ini digunakan untuk mendukung laporan Kendali Cerdas dan dokumentasi rancangan fuzzy controller.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Fuzzy Collision Avoidance Simulation</dc:creator>
  <dc:title>Laporan Simulasi Fuzzy SEANO</dc:title>
  <dc:subject>Mamdani Fuzzy Logic Controller</dc:subject>
  <dcterms:created xsi:type="dcterms:W3CDTF">2026-05-31T16:53:06Z</dcterms:created>
  <dcterms:modified xsi:type="dcterms:W3CDTF">2026-05-31T09:53:06Z</dcterms:modified>
</cp:coreProperties>
</file>